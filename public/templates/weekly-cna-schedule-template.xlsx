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eekly schedule" sheetId="1" state="visible" r:id="rId3"/>
    <sheet name="Call-out log" sheetId="2" state="visible" r:id="rId4"/>
    <sheet name="Shift codes" sheetId="3" state="visible" r:id="rId5"/>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J6" authorId="0">
      <text>
        <r>
          <rPr>
            <sz val="10"/>
            <rFont val="Arial"/>
            <family val="2"/>
          </rPr>
          <t xml:space="preserve">Adds the hours for each code from the Shift codes tab. Red = over 40 hours (overtime).</t>
        </r>
      </text>
    </comment>
  </commentList>
</comments>
</file>

<file path=xl/sharedStrings.xml><?xml version="1.0" encoding="utf-8"?>
<sst xmlns="http://schemas.openxmlformats.org/spreadsheetml/2006/main" count="77" uniqueCount="59">
  <si>
    <t xml:space="preserve">Weekly CNA Schedule</t>
  </si>
  <si>
    <t xml:space="preserve">Type a shift code in each day (D, E, N, D12, N12, OFF, PTO, CO). Hours add up on the right and turn red over 40. Yellow cells are yours to fill in.</t>
  </si>
  <si>
    <t xml:space="preserve">Facility</t>
  </si>
  <si>
    <t xml:space="preserve">Unit / hall</t>
  </si>
  <si>
    <t xml:space="preserve">Week of (Monday)</t>
  </si>
  <si>
    <t xml:space="preserve">Scheduler</t>
  </si>
  <si>
    <t xml:space="preserve">Name</t>
  </si>
  <si>
    <t xml:space="preserve">Role</t>
  </si>
  <si>
    <t xml:space="preserve">Mon</t>
  </si>
  <si>
    <t xml:space="preserve">Tue</t>
  </si>
  <si>
    <t xml:space="preserve">Wed</t>
  </si>
  <si>
    <t xml:space="preserve">Thu</t>
  </si>
  <si>
    <t xml:space="preserve">Fri</t>
  </si>
  <si>
    <t xml:space="preserve">Sat</t>
  </si>
  <si>
    <t xml:space="preserve">Sun</t>
  </si>
  <si>
    <t xml:space="preserve">Hours</t>
  </si>
  <si>
    <t xml:space="preserve">Notes</t>
  </si>
  <si>
    <t xml:space="preserve">date</t>
  </si>
  <si>
    <t xml:space="preserve">Example: Maria L.</t>
  </si>
  <si>
    <t xml:space="preserve">CNA</t>
  </si>
  <si>
    <t xml:space="preserve">D</t>
  </si>
  <si>
    <t xml:space="preserve">OFF</t>
  </si>
  <si>
    <t xml:space="preserve">E</t>
  </si>
  <si>
    <t xml:space="preserve">D12</t>
  </si>
  <si>
    <t xml:space="preserve">Delete this row when you start</t>
  </si>
  <si>
    <t xml:space="preserve">Coverage check</t>
  </si>
  <si>
    <t xml:space="preserve">Scheduled counts the shift codes in each day; type how many you need in the yellow rows.</t>
  </si>
  <si>
    <t xml:space="preserve">Shift</t>
  </si>
  <si>
    <t xml:space="preserve">Day: scheduled</t>
  </si>
  <si>
    <t xml:space="preserve">Day: needed</t>
  </si>
  <si>
    <t xml:space="preserve">Day: short by</t>
  </si>
  <si>
    <t xml:space="preserve">Evening: scheduled</t>
  </si>
  <si>
    <t xml:space="preserve">Evening: needed</t>
  </si>
  <si>
    <t xml:space="preserve">Evening: short by</t>
  </si>
  <si>
    <t xml:space="preserve">Night: scheduled</t>
  </si>
  <si>
    <t xml:space="preserve">Night: needed</t>
  </si>
  <si>
    <t xml:space="preserve">Night: short by</t>
  </si>
  <si>
    <t xml:space="preserve">Free template from WiserShifts. Build and send this schedule online, with call-out cover by text: wisershifts.com</t>
  </si>
  <si>
    <t xml:space="preserve">Date</t>
  </si>
  <si>
    <t xml:space="preserve">Who called out</t>
  </si>
  <si>
    <t xml:space="preserve">Time called</t>
  </si>
  <si>
    <t xml:space="preserve">Reason</t>
  </si>
  <si>
    <t xml:space="preserve">Covered by</t>
  </si>
  <si>
    <t xml:space="preserve">Time covered</t>
  </si>
  <si>
    <t xml:space="preserve">Overtime? (Y/N)</t>
  </si>
  <si>
    <t xml:space="preserve">Code</t>
  </si>
  <si>
    <t xml:space="preserve">Change the hours (yellow) if your shifts are different lengths. PTO counts 0 hours toward overtime here; change it if your policy counts it.</t>
  </si>
  <si>
    <t xml:space="preserve">Day 7a-3p</t>
  </si>
  <si>
    <t xml:space="preserve">Evening 3p-11p</t>
  </si>
  <si>
    <t xml:space="preserve">N</t>
  </si>
  <si>
    <t xml:space="preserve">Night 11p-7a</t>
  </si>
  <si>
    <t xml:space="preserve">Day 7a-7p</t>
  </si>
  <si>
    <t xml:space="preserve">N12</t>
  </si>
  <si>
    <t xml:space="preserve">Night 7p-7a</t>
  </si>
  <si>
    <t xml:space="preserve">Day off</t>
  </si>
  <si>
    <t xml:space="preserve">PTO</t>
  </si>
  <si>
    <t xml:space="preserve">Paid time off</t>
  </si>
  <si>
    <t xml:space="preserve">CO</t>
  </si>
  <si>
    <t xml:space="preserve">Called out</t>
  </si>
</sst>
</file>

<file path=xl/styles.xml><?xml version="1.0" encoding="utf-8"?>
<styleSheet xmlns="http://schemas.openxmlformats.org/spreadsheetml/2006/main">
  <numFmts count="5">
    <numFmt numFmtId="164" formatCode="General"/>
    <numFmt numFmtId="165" formatCode="mmm\ d&quot;, &quot;yyyy"/>
    <numFmt numFmtId="166" formatCode="m/d"/>
    <numFmt numFmtId="167" formatCode="General"/>
    <numFmt numFmtId="168" formatCode="h:mm\ AM/PM"/>
  </numFmts>
  <fonts count="15">
    <font>
      <sz val="11"/>
      <color theme="1"/>
      <name val="Calibri"/>
      <family val="2"/>
      <charset val="1"/>
    </font>
    <font>
      <sz val="10"/>
      <name val="Arial"/>
      <family val="0"/>
    </font>
    <font>
      <sz val="10"/>
      <name val="Arial"/>
      <family val="0"/>
    </font>
    <font>
      <sz val="10"/>
      <name val="Arial"/>
      <family val="0"/>
    </font>
    <font>
      <b val="true"/>
      <sz val="16"/>
      <color rgb="FF101828"/>
      <name val="Arial"/>
      <family val="0"/>
      <charset val="1"/>
    </font>
    <font>
      <i val="true"/>
      <sz val="11"/>
      <color rgb="FF475467"/>
      <name val="Arial"/>
      <family val="0"/>
      <charset val="1"/>
    </font>
    <font>
      <b val="true"/>
      <sz val="11"/>
      <color rgb="FF475467"/>
      <name val="Arial"/>
      <family val="0"/>
      <charset val="1"/>
    </font>
    <font>
      <sz val="11"/>
      <name val="Arial"/>
      <family val="0"/>
      <charset val="1"/>
    </font>
    <font>
      <b val="true"/>
      <sz val="11"/>
      <color rgb="FFFFFFFF"/>
      <name val="Arial"/>
      <family val="0"/>
      <charset val="1"/>
    </font>
    <font>
      <sz val="9"/>
      <color rgb="FF475467"/>
      <name val="Arial"/>
      <family val="0"/>
      <charset val="1"/>
    </font>
    <font>
      <i val="true"/>
      <sz val="11"/>
      <color rgb="FF667085"/>
      <name val="Arial"/>
      <family val="0"/>
      <charset val="1"/>
    </font>
    <font>
      <b val="true"/>
      <sz val="11"/>
      <name val="Arial"/>
      <family val="0"/>
      <charset val="1"/>
    </font>
    <font>
      <b val="true"/>
      <sz val="12"/>
      <name val="Arial"/>
      <family val="0"/>
      <charset val="1"/>
    </font>
    <font>
      <sz val="11"/>
      <color rgb="FF475467"/>
      <name val="Arial"/>
      <family val="0"/>
      <charset val="1"/>
    </font>
    <font>
      <sz val="10"/>
      <name val="Arial"/>
      <family val="2"/>
    </font>
  </fonts>
  <fills count="5">
    <fill>
      <patternFill patternType="none"/>
    </fill>
    <fill>
      <patternFill patternType="gray125"/>
    </fill>
    <fill>
      <patternFill patternType="solid">
        <fgColor rgb="FFFFF7D6"/>
        <bgColor rgb="FFEEF2F6"/>
      </patternFill>
    </fill>
    <fill>
      <patternFill patternType="solid">
        <fgColor rgb="FF2E407D"/>
        <bgColor rgb="FF475467"/>
      </patternFill>
    </fill>
    <fill>
      <patternFill patternType="solid">
        <fgColor rgb="FFEEF2F6"/>
        <bgColor rgb="FFFFFFFF"/>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5" fontId="7" fillId="2"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center"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7" fontId="11" fillId="0"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center" vertical="bottom" textRotation="0" wrapText="false" indent="0" shrinkToFit="false"/>
      <protection locked="true" hidden="false"/>
    </xf>
    <xf numFmtId="167" fontId="11" fillId="4"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center" vertical="bottom" textRotation="0" wrapText="false" indent="0" shrinkToFit="false"/>
      <protection locked="true" hidden="false"/>
    </xf>
    <xf numFmtId="164" fontId="7" fillId="2"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6" fontId="7" fillId="4" borderId="1" xfId="0" applyFont="true" applyBorder="true" applyAlignment="false" applyProtection="false">
      <alignment horizontal="general" vertical="bottom" textRotation="0" wrapText="false" indent="0" shrinkToFit="false"/>
      <protection locked="true" hidden="false"/>
    </xf>
    <xf numFmtId="168" fontId="7" fillId="4" borderId="1" xfId="0" applyFont="true" applyBorder="tru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Arial"/>
        <charset val="1"/>
        <family val="0"/>
        <b val="1"/>
        <color rgb="FFB42318"/>
      </font>
      <fill>
        <patternFill>
          <bgColor rgb="FFFEE4E2"/>
        </patternFill>
      </fill>
    </dxf>
    <dxf>
      <font>
        <name val="Arial"/>
        <charset val="1"/>
        <family val="0"/>
        <b val="1"/>
        <color rgb="FFB42318"/>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7D6"/>
      <rgbColor rgb="FFEEF2F6"/>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EE4E2"/>
      <rgbColor rgb="FF3366FF"/>
      <rgbColor rgb="FF33CCCC"/>
      <rgbColor rgb="FF99CC00"/>
      <rgbColor rgb="FFFFCC00"/>
      <rgbColor rgb="FFFF9900"/>
      <rgbColor rgb="FFFF6600"/>
      <rgbColor rgb="FF667085"/>
      <rgbColor rgb="FF969696"/>
      <rgbColor rgb="FF003366"/>
      <rgbColor rgb="FF339966"/>
      <rgbColor rgb="FF101828"/>
      <rgbColor rgb="FF333300"/>
      <rgbColor rgb="FFB42318"/>
      <rgbColor rgb="FF993366"/>
      <rgbColor rgb="FF2E407D"/>
      <rgbColor rgb="FF47546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6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0"/>
    <col collapsed="false" customWidth="true" hidden="false" outlineLevel="0" max="10" min="3" style="0" width="8"/>
    <col collapsed="false" customWidth="true" hidden="false" outlineLevel="0" max="11" min="11" style="0" width="3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c r="D4" s="3" t="s">
        <v>3</v>
      </c>
      <c r="E4" s="4"/>
      <c r="G4" s="3" t="s">
        <v>4</v>
      </c>
      <c r="H4" s="5"/>
      <c r="J4" s="3" t="s">
        <v>5</v>
      </c>
      <c r="K4" s="4"/>
    </row>
    <row r="6" customFormat="false" ht="15" hidden="false" customHeight="false" outlineLevel="0" collapsed="false">
      <c r="A6" s="6" t="s">
        <v>6</v>
      </c>
      <c r="B6" s="6" t="s">
        <v>7</v>
      </c>
      <c r="C6" s="6" t="s">
        <v>8</v>
      </c>
      <c r="D6" s="6" t="s">
        <v>9</v>
      </c>
      <c r="E6" s="6" t="s">
        <v>10</v>
      </c>
      <c r="F6" s="6" t="s">
        <v>11</v>
      </c>
      <c r="G6" s="6" t="s">
        <v>12</v>
      </c>
      <c r="H6" s="6" t="s">
        <v>13</v>
      </c>
      <c r="I6" s="6" t="s">
        <v>14</v>
      </c>
      <c r="J6" s="6" t="s">
        <v>15</v>
      </c>
      <c r="K6" s="6" t="s">
        <v>16</v>
      </c>
    </row>
    <row r="7" customFormat="false" ht="15" hidden="false" customHeight="false" outlineLevel="0" collapsed="false">
      <c r="A7" s="7" t="s">
        <v>17</v>
      </c>
      <c r="C7" s="8" t="str">
        <f aca="false">IF($H$4="","",$H$4+0)</f>
        <v/>
      </c>
      <c r="D7" s="8" t="str">
        <f aca="false">IF($H$4="","",$H$4+1)</f>
        <v/>
      </c>
      <c r="E7" s="8" t="str">
        <f aca="false">IF($H$4="","",$H$4+2)</f>
        <v/>
      </c>
      <c r="F7" s="8" t="str">
        <f aca="false">IF($H$4="","",$H$4+3)</f>
        <v/>
      </c>
      <c r="G7" s="8" t="str">
        <f aca="false">IF($H$4="","",$H$4+4)</f>
        <v/>
      </c>
      <c r="H7" s="8" t="str">
        <f aca="false">IF($H$4="","",$H$4+5)</f>
        <v/>
      </c>
      <c r="I7" s="8" t="str">
        <f aca="false">IF($H$4="","",$H$4+6)</f>
        <v/>
      </c>
    </row>
    <row r="8" customFormat="false" ht="15" hidden="false" customHeight="false" outlineLevel="0" collapsed="false">
      <c r="A8" s="9" t="s">
        <v>18</v>
      </c>
      <c r="B8" s="9" t="s">
        <v>19</v>
      </c>
      <c r="C8" s="10" t="s">
        <v>20</v>
      </c>
      <c r="D8" s="10" t="s">
        <v>20</v>
      </c>
      <c r="E8" s="10" t="s">
        <v>21</v>
      </c>
      <c r="F8" s="10" t="s">
        <v>22</v>
      </c>
      <c r="G8" s="10" t="s">
        <v>20</v>
      </c>
      <c r="H8" s="10" t="s">
        <v>21</v>
      </c>
      <c r="I8" s="10" t="s">
        <v>23</v>
      </c>
      <c r="J8" s="11" t="n">
        <f aca="false">SUMPRODUCT(COUNTIF(C8:I8,'Shift codes'!$A$2:$A$9),'Shift codes'!$C$2:$C$9)</f>
        <v>44</v>
      </c>
      <c r="K8" s="9" t="s">
        <v>24</v>
      </c>
    </row>
    <row r="9" customFormat="false" ht="15" hidden="false" customHeight="false" outlineLevel="0" collapsed="false">
      <c r="A9" s="12"/>
      <c r="B9" s="12"/>
      <c r="C9" s="13"/>
      <c r="D9" s="13"/>
      <c r="E9" s="13"/>
      <c r="F9" s="13"/>
      <c r="G9" s="13"/>
      <c r="H9" s="13"/>
      <c r="I9" s="13"/>
      <c r="J9" s="14" t="n">
        <f aca="false">SUMPRODUCT(COUNTIF(C9:I9,'Shift codes'!$A$2:$A$9),'Shift codes'!$C$2:$C$9)</f>
        <v>0</v>
      </c>
      <c r="K9" s="12"/>
    </row>
    <row r="10" customFormat="false" ht="15" hidden="false" customHeight="false" outlineLevel="0" collapsed="false">
      <c r="A10" s="15"/>
      <c r="B10" s="15"/>
      <c r="C10" s="16"/>
      <c r="D10" s="16"/>
      <c r="E10" s="16"/>
      <c r="F10" s="16"/>
      <c r="G10" s="16"/>
      <c r="H10" s="16"/>
      <c r="I10" s="16"/>
      <c r="J10" s="11" t="n">
        <f aca="false">SUMPRODUCT(COUNTIF(C10:I10,'Shift codes'!$A$2:$A$9),'Shift codes'!$C$2:$C$9)</f>
        <v>0</v>
      </c>
      <c r="K10" s="15"/>
    </row>
    <row r="11" customFormat="false" ht="15" hidden="false" customHeight="false" outlineLevel="0" collapsed="false">
      <c r="A11" s="12"/>
      <c r="B11" s="12"/>
      <c r="C11" s="13"/>
      <c r="D11" s="13"/>
      <c r="E11" s="13"/>
      <c r="F11" s="13"/>
      <c r="G11" s="13"/>
      <c r="H11" s="13"/>
      <c r="I11" s="13"/>
      <c r="J11" s="14" t="n">
        <f aca="false">SUMPRODUCT(COUNTIF(C11:I11,'Shift codes'!$A$2:$A$9),'Shift codes'!$C$2:$C$9)</f>
        <v>0</v>
      </c>
      <c r="K11" s="12"/>
    </row>
    <row r="12" customFormat="false" ht="15" hidden="false" customHeight="false" outlineLevel="0" collapsed="false">
      <c r="A12" s="15"/>
      <c r="B12" s="15"/>
      <c r="C12" s="16"/>
      <c r="D12" s="16"/>
      <c r="E12" s="16"/>
      <c r="F12" s="16"/>
      <c r="G12" s="16"/>
      <c r="H12" s="16"/>
      <c r="I12" s="16"/>
      <c r="J12" s="11" t="n">
        <f aca="false">SUMPRODUCT(COUNTIF(C12:I12,'Shift codes'!$A$2:$A$9),'Shift codes'!$C$2:$C$9)</f>
        <v>0</v>
      </c>
      <c r="K12" s="15"/>
    </row>
    <row r="13" customFormat="false" ht="15" hidden="false" customHeight="false" outlineLevel="0" collapsed="false">
      <c r="A13" s="12"/>
      <c r="B13" s="12"/>
      <c r="C13" s="13"/>
      <c r="D13" s="13"/>
      <c r="E13" s="13"/>
      <c r="F13" s="13"/>
      <c r="G13" s="13"/>
      <c r="H13" s="13"/>
      <c r="I13" s="13"/>
      <c r="J13" s="14" t="n">
        <f aca="false">SUMPRODUCT(COUNTIF(C13:I13,'Shift codes'!$A$2:$A$9),'Shift codes'!$C$2:$C$9)</f>
        <v>0</v>
      </c>
      <c r="K13" s="12"/>
    </row>
    <row r="14" customFormat="false" ht="15" hidden="false" customHeight="false" outlineLevel="0" collapsed="false">
      <c r="A14" s="15"/>
      <c r="B14" s="15"/>
      <c r="C14" s="16"/>
      <c r="D14" s="16"/>
      <c r="E14" s="16"/>
      <c r="F14" s="16"/>
      <c r="G14" s="16"/>
      <c r="H14" s="16"/>
      <c r="I14" s="16"/>
      <c r="J14" s="11" t="n">
        <f aca="false">SUMPRODUCT(COUNTIF(C14:I14,'Shift codes'!$A$2:$A$9),'Shift codes'!$C$2:$C$9)</f>
        <v>0</v>
      </c>
      <c r="K14" s="15"/>
    </row>
    <row r="15" customFormat="false" ht="15" hidden="false" customHeight="false" outlineLevel="0" collapsed="false">
      <c r="A15" s="12"/>
      <c r="B15" s="12"/>
      <c r="C15" s="13"/>
      <c r="D15" s="13"/>
      <c r="E15" s="13"/>
      <c r="F15" s="13"/>
      <c r="G15" s="13"/>
      <c r="H15" s="13"/>
      <c r="I15" s="13"/>
      <c r="J15" s="14" t="n">
        <f aca="false">SUMPRODUCT(COUNTIF(C15:I15,'Shift codes'!$A$2:$A$9),'Shift codes'!$C$2:$C$9)</f>
        <v>0</v>
      </c>
      <c r="K15" s="12"/>
    </row>
    <row r="16" customFormat="false" ht="15" hidden="false" customHeight="false" outlineLevel="0" collapsed="false">
      <c r="A16" s="15"/>
      <c r="B16" s="15"/>
      <c r="C16" s="16"/>
      <c r="D16" s="16"/>
      <c r="E16" s="16"/>
      <c r="F16" s="16"/>
      <c r="G16" s="16"/>
      <c r="H16" s="16"/>
      <c r="I16" s="16"/>
      <c r="J16" s="11" t="n">
        <f aca="false">SUMPRODUCT(COUNTIF(C16:I16,'Shift codes'!$A$2:$A$9),'Shift codes'!$C$2:$C$9)</f>
        <v>0</v>
      </c>
      <c r="K16" s="15"/>
    </row>
    <row r="17" customFormat="false" ht="15" hidden="false" customHeight="false" outlineLevel="0" collapsed="false">
      <c r="A17" s="12"/>
      <c r="B17" s="12"/>
      <c r="C17" s="13"/>
      <c r="D17" s="13"/>
      <c r="E17" s="13"/>
      <c r="F17" s="13"/>
      <c r="G17" s="13"/>
      <c r="H17" s="13"/>
      <c r="I17" s="13"/>
      <c r="J17" s="14" t="n">
        <f aca="false">SUMPRODUCT(COUNTIF(C17:I17,'Shift codes'!$A$2:$A$9),'Shift codes'!$C$2:$C$9)</f>
        <v>0</v>
      </c>
      <c r="K17" s="12"/>
    </row>
    <row r="18" customFormat="false" ht="15" hidden="false" customHeight="false" outlineLevel="0" collapsed="false">
      <c r="A18" s="15"/>
      <c r="B18" s="15"/>
      <c r="C18" s="16"/>
      <c r="D18" s="16"/>
      <c r="E18" s="16"/>
      <c r="F18" s="16"/>
      <c r="G18" s="16"/>
      <c r="H18" s="16"/>
      <c r="I18" s="16"/>
      <c r="J18" s="11" t="n">
        <f aca="false">SUMPRODUCT(COUNTIF(C18:I18,'Shift codes'!$A$2:$A$9),'Shift codes'!$C$2:$C$9)</f>
        <v>0</v>
      </c>
      <c r="K18" s="15"/>
    </row>
    <row r="19" customFormat="false" ht="15" hidden="false" customHeight="false" outlineLevel="0" collapsed="false">
      <c r="A19" s="12"/>
      <c r="B19" s="12"/>
      <c r="C19" s="13"/>
      <c r="D19" s="13"/>
      <c r="E19" s="13"/>
      <c r="F19" s="13"/>
      <c r="G19" s="13"/>
      <c r="H19" s="13"/>
      <c r="I19" s="13"/>
      <c r="J19" s="14" t="n">
        <f aca="false">SUMPRODUCT(COUNTIF(C19:I19,'Shift codes'!$A$2:$A$9),'Shift codes'!$C$2:$C$9)</f>
        <v>0</v>
      </c>
      <c r="K19" s="12"/>
    </row>
    <row r="20" customFormat="false" ht="15" hidden="false" customHeight="false" outlineLevel="0" collapsed="false">
      <c r="A20" s="15"/>
      <c r="B20" s="15"/>
      <c r="C20" s="16"/>
      <c r="D20" s="16"/>
      <c r="E20" s="16"/>
      <c r="F20" s="16"/>
      <c r="G20" s="16"/>
      <c r="H20" s="16"/>
      <c r="I20" s="16"/>
      <c r="J20" s="11" t="n">
        <f aca="false">SUMPRODUCT(COUNTIF(C20:I20,'Shift codes'!$A$2:$A$9),'Shift codes'!$C$2:$C$9)</f>
        <v>0</v>
      </c>
      <c r="K20" s="15"/>
    </row>
    <row r="21" customFormat="false" ht="15" hidden="false" customHeight="false" outlineLevel="0" collapsed="false">
      <c r="A21" s="12"/>
      <c r="B21" s="12"/>
      <c r="C21" s="13"/>
      <c r="D21" s="13"/>
      <c r="E21" s="13"/>
      <c r="F21" s="13"/>
      <c r="G21" s="13"/>
      <c r="H21" s="13"/>
      <c r="I21" s="13"/>
      <c r="J21" s="14" t="n">
        <f aca="false">SUMPRODUCT(COUNTIF(C21:I21,'Shift codes'!$A$2:$A$9),'Shift codes'!$C$2:$C$9)</f>
        <v>0</v>
      </c>
      <c r="K21" s="12"/>
    </row>
    <row r="22" customFormat="false" ht="15" hidden="false" customHeight="false" outlineLevel="0" collapsed="false">
      <c r="A22" s="15"/>
      <c r="B22" s="15"/>
      <c r="C22" s="16"/>
      <c r="D22" s="16"/>
      <c r="E22" s="16"/>
      <c r="F22" s="16"/>
      <c r="G22" s="16"/>
      <c r="H22" s="16"/>
      <c r="I22" s="16"/>
      <c r="J22" s="11" t="n">
        <f aca="false">SUMPRODUCT(COUNTIF(C22:I22,'Shift codes'!$A$2:$A$9),'Shift codes'!$C$2:$C$9)</f>
        <v>0</v>
      </c>
      <c r="K22" s="15"/>
    </row>
    <row r="23" customFormat="false" ht="15" hidden="false" customHeight="false" outlineLevel="0" collapsed="false">
      <c r="A23" s="12"/>
      <c r="B23" s="12"/>
      <c r="C23" s="13"/>
      <c r="D23" s="13"/>
      <c r="E23" s="13"/>
      <c r="F23" s="13"/>
      <c r="G23" s="13"/>
      <c r="H23" s="13"/>
      <c r="I23" s="13"/>
      <c r="J23" s="14" t="n">
        <f aca="false">SUMPRODUCT(COUNTIF(C23:I23,'Shift codes'!$A$2:$A$9),'Shift codes'!$C$2:$C$9)</f>
        <v>0</v>
      </c>
      <c r="K23" s="12"/>
    </row>
    <row r="24" customFormat="false" ht="15" hidden="false" customHeight="false" outlineLevel="0" collapsed="false">
      <c r="A24" s="15"/>
      <c r="B24" s="15"/>
      <c r="C24" s="16"/>
      <c r="D24" s="16"/>
      <c r="E24" s="16"/>
      <c r="F24" s="16"/>
      <c r="G24" s="16"/>
      <c r="H24" s="16"/>
      <c r="I24" s="16"/>
      <c r="J24" s="11" t="n">
        <f aca="false">SUMPRODUCT(COUNTIF(C24:I24,'Shift codes'!$A$2:$A$9),'Shift codes'!$C$2:$C$9)</f>
        <v>0</v>
      </c>
      <c r="K24" s="15"/>
    </row>
    <row r="25" customFormat="false" ht="15" hidden="false" customHeight="false" outlineLevel="0" collapsed="false">
      <c r="A25" s="12"/>
      <c r="B25" s="12"/>
      <c r="C25" s="13"/>
      <c r="D25" s="13"/>
      <c r="E25" s="13"/>
      <c r="F25" s="13"/>
      <c r="G25" s="13"/>
      <c r="H25" s="13"/>
      <c r="I25" s="13"/>
      <c r="J25" s="14" t="n">
        <f aca="false">SUMPRODUCT(COUNTIF(C25:I25,'Shift codes'!$A$2:$A$9),'Shift codes'!$C$2:$C$9)</f>
        <v>0</v>
      </c>
      <c r="K25" s="12"/>
    </row>
    <row r="26" customFormat="false" ht="15" hidden="false" customHeight="false" outlineLevel="0" collapsed="false">
      <c r="A26" s="15"/>
      <c r="B26" s="15"/>
      <c r="C26" s="16"/>
      <c r="D26" s="16"/>
      <c r="E26" s="16"/>
      <c r="F26" s="16"/>
      <c r="G26" s="16"/>
      <c r="H26" s="16"/>
      <c r="I26" s="16"/>
      <c r="J26" s="11" t="n">
        <f aca="false">SUMPRODUCT(COUNTIF(C26:I26,'Shift codes'!$A$2:$A$9),'Shift codes'!$C$2:$C$9)</f>
        <v>0</v>
      </c>
      <c r="K26" s="15"/>
    </row>
    <row r="27" customFormat="false" ht="15" hidden="false" customHeight="false" outlineLevel="0" collapsed="false">
      <c r="A27" s="12"/>
      <c r="B27" s="12"/>
      <c r="C27" s="13"/>
      <c r="D27" s="13"/>
      <c r="E27" s="13"/>
      <c r="F27" s="13"/>
      <c r="G27" s="13"/>
      <c r="H27" s="13"/>
      <c r="I27" s="13"/>
      <c r="J27" s="14" t="n">
        <f aca="false">SUMPRODUCT(COUNTIF(C27:I27,'Shift codes'!$A$2:$A$9),'Shift codes'!$C$2:$C$9)</f>
        <v>0</v>
      </c>
      <c r="K27" s="12"/>
    </row>
    <row r="28" customFormat="false" ht="15" hidden="false" customHeight="false" outlineLevel="0" collapsed="false">
      <c r="A28" s="15"/>
      <c r="B28" s="15"/>
      <c r="C28" s="16"/>
      <c r="D28" s="16"/>
      <c r="E28" s="16"/>
      <c r="F28" s="16"/>
      <c r="G28" s="16"/>
      <c r="H28" s="16"/>
      <c r="I28" s="16"/>
      <c r="J28" s="11" t="n">
        <f aca="false">SUMPRODUCT(COUNTIF(C28:I28,'Shift codes'!$A$2:$A$9),'Shift codes'!$C$2:$C$9)</f>
        <v>0</v>
      </c>
      <c r="K28" s="15"/>
    </row>
    <row r="29" customFormat="false" ht="15" hidden="false" customHeight="false" outlineLevel="0" collapsed="false">
      <c r="A29" s="12"/>
      <c r="B29" s="12"/>
      <c r="C29" s="13"/>
      <c r="D29" s="13"/>
      <c r="E29" s="13"/>
      <c r="F29" s="13"/>
      <c r="G29" s="13"/>
      <c r="H29" s="13"/>
      <c r="I29" s="13"/>
      <c r="J29" s="14" t="n">
        <f aca="false">SUMPRODUCT(COUNTIF(C29:I29,'Shift codes'!$A$2:$A$9),'Shift codes'!$C$2:$C$9)</f>
        <v>0</v>
      </c>
      <c r="K29" s="12"/>
    </row>
    <row r="30" customFormat="false" ht="15" hidden="false" customHeight="false" outlineLevel="0" collapsed="false">
      <c r="A30" s="15"/>
      <c r="B30" s="15"/>
      <c r="C30" s="16"/>
      <c r="D30" s="16"/>
      <c r="E30" s="16"/>
      <c r="F30" s="16"/>
      <c r="G30" s="16"/>
      <c r="H30" s="16"/>
      <c r="I30" s="16"/>
      <c r="J30" s="11" t="n">
        <f aca="false">SUMPRODUCT(COUNTIF(C30:I30,'Shift codes'!$A$2:$A$9),'Shift codes'!$C$2:$C$9)</f>
        <v>0</v>
      </c>
      <c r="K30" s="15"/>
    </row>
    <row r="31" customFormat="false" ht="15" hidden="false" customHeight="false" outlineLevel="0" collapsed="false">
      <c r="A31" s="12"/>
      <c r="B31" s="12"/>
      <c r="C31" s="13"/>
      <c r="D31" s="13"/>
      <c r="E31" s="13"/>
      <c r="F31" s="13"/>
      <c r="G31" s="13"/>
      <c r="H31" s="13"/>
      <c r="I31" s="13"/>
      <c r="J31" s="14" t="n">
        <f aca="false">SUMPRODUCT(COUNTIF(C31:I31,'Shift codes'!$A$2:$A$9),'Shift codes'!$C$2:$C$9)</f>
        <v>0</v>
      </c>
      <c r="K31" s="12"/>
    </row>
    <row r="32" customFormat="false" ht="15" hidden="false" customHeight="false" outlineLevel="0" collapsed="false">
      <c r="A32" s="15"/>
      <c r="B32" s="15"/>
      <c r="C32" s="16"/>
      <c r="D32" s="16"/>
      <c r="E32" s="16"/>
      <c r="F32" s="16"/>
      <c r="G32" s="16"/>
      <c r="H32" s="16"/>
      <c r="I32" s="16"/>
      <c r="J32" s="11" t="n">
        <f aca="false">SUMPRODUCT(COUNTIF(C32:I32,'Shift codes'!$A$2:$A$9),'Shift codes'!$C$2:$C$9)</f>
        <v>0</v>
      </c>
      <c r="K32" s="15"/>
    </row>
    <row r="33" customFormat="false" ht="15" hidden="false" customHeight="false" outlineLevel="0" collapsed="false">
      <c r="A33" s="12"/>
      <c r="B33" s="12"/>
      <c r="C33" s="13"/>
      <c r="D33" s="13"/>
      <c r="E33" s="13"/>
      <c r="F33" s="13"/>
      <c r="G33" s="13"/>
      <c r="H33" s="13"/>
      <c r="I33" s="13"/>
      <c r="J33" s="14" t="n">
        <f aca="false">SUMPRODUCT(COUNTIF(C33:I33,'Shift codes'!$A$2:$A$9),'Shift codes'!$C$2:$C$9)</f>
        <v>0</v>
      </c>
      <c r="K33" s="12"/>
    </row>
    <row r="34" customFormat="false" ht="15" hidden="false" customHeight="false" outlineLevel="0" collapsed="false">
      <c r="A34" s="15"/>
      <c r="B34" s="15"/>
      <c r="C34" s="16"/>
      <c r="D34" s="16"/>
      <c r="E34" s="16"/>
      <c r="F34" s="16"/>
      <c r="G34" s="16"/>
      <c r="H34" s="16"/>
      <c r="I34" s="16"/>
      <c r="J34" s="11" t="n">
        <f aca="false">SUMPRODUCT(COUNTIF(C34:I34,'Shift codes'!$A$2:$A$9),'Shift codes'!$C$2:$C$9)</f>
        <v>0</v>
      </c>
      <c r="K34" s="15"/>
    </row>
    <row r="35" customFormat="false" ht="15" hidden="false" customHeight="false" outlineLevel="0" collapsed="false">
      <c r="A35" s="12"/>
      <c r="B35" s="12"/>
      <c r="C35" s="13"/>
      <c r="D35" s="13"/>
      <c r="E35" s="13"/>
      <c r="F35" s="13"/>
      <c r="G35" s="13"/>
      <c r="H35" s="13"/>
      <c r="I35" s="13"/>
      <c r="J35" s="14" t="n">
        <f aca="false">SUMPRODUCT(COUNTIF(C35:I35,'Shift codes'!$A$2:$A$9),'Shift codes'!$C$2:$C$9)</f>
        <v>0</v>
      </c>
      <c r="K35" s="12"/>
    </row>
    <row r="36" customFormat="false" ht="15" hidden="false" customHeight="false" outlineLevel="0" collapsed="false">
      <c r="A36" s="15"/>
      <c r="B36" s="15"/>
      <c r="C36" s="16"/>
      <c r="D36" s="16"/>
      <c r="E36" s="16"/>
      <c r="F36" s="16"/>
      <c r="G36" s="16"/>
      <c r="H36" s="16"/>
      <c r="I36" s="16"/>
      <c r="J36" s="11" t="n">
        <f aca="false">SUMPRODUCT(COUNTIF(C36:I36,'Shift codes'!$A$2:$A$9),'Shift codes'!$C$2:$C$9)</f>
        <v>0</v>
      </c>
      <c r="K36" s="15"/>
    </row>
    <row r="37" customFormat="false" ht="15" hidden="false" customHeight="false" outlineLevel="0" collapsed="false">
      <c r="A37" s="12"/>
      <c r="B37" s="12"/>
      <c r="C37" s="13"/>
      <c r="D37" s="13"/>
      <c r="E37" s="13"/>
      <c r="F37" s="13"/>
      <c r="G37" s="13"/>
      <c r="H37" s="13"/>
      <c r="I37" s="13"/>
      <c r="J37" s="14" t="n">
        <f aca="false">SUMPRODUCT(COUNTIF(C37:I37,'Shift codes'!$A$2:$A$9),'Shift codes'!$C$2:$C$9)</f>
        <v>0</v>
      </c>
      <c r="K37" s="12"/>
    </row>
    <row r="38" customFormat="false" ht="15" hidden="false" customHeight="false" outlineLevel="0" collapsed="false">
      <c r="A38" s="15"/>
      <c r="B38" s="15"/>
      <c r="C38" s="16"/>
      <c r="D38" s="16"/>
      <c r="E38" s="16"/>
      <c r="F38" s="16"/>
      <c r="G38" s="16"/>
      <c r="H38" s="16"/>
      <c r="I38" s="16"/>
      <c r="J38" s="11" t="n">
        <f aca="false">SUMPRODUCT(COUNTIF(C38:I38,'Shift codes'!$A$2:$A$9),'Shift codes'!$C$2:$C$9)</f>
        <v>0</v>
      </c>
      <c r="K38" s="15"/>
    </row>
    <row r="39" customFormat="false" ht="15" hidden="false" customHeight="false" outlineLevel="0" collapsed="false">
      <c r="A39" s="12"/>
      <c r="B39" s="12"/>
      <c r="C39" s="13"/>
      <c r="D39" s="13"/>
      <c r="E39" s="13"/>
      <c r="F39" s="13"/>
      <c r="G39" s="13"/>
      <c r="H39" s="13"/>
      <c r="I39" s="13"/>
      <c r="J39" s="14" t="n">
        <f aca="false">SUMPRODUCT(COUNTIF(C39:I39,'Shift codes'!$A$2:$A$9),'Shift codes'!$C$2:$C$9)</f>
        <v>0</v>
      </c>
      <c r="K39" s="12"/>
    </row>
    <row r="40" customFormat="false" ht="15" hidden="false" customHeight="false" outlineLevel="0" collapsed="false">
      <c r="A40" s="15"/>
      <c r="B40" s="15"/>
      <c r="C40" s="16"/>
      <c r="D40" s="16"/>
      <c r="E40" s="16"/>
      <c r="F40" s="16"/>
      <c r="G40" s="16"/>
      <c r="H40" s="16"/>
      <c r="I40" s="16"/>
      <c r="J40" s="11" t="n">
        <f aca="false">SUMPRODUCT(COUNTIF(C40:I40,'Shift codes'!$A$2:$A$9),'Shift codes'!$C$2:$C$9)</f>
        <v>0</v>
      </c>
      <c r="K40" s="15"/>
    </row>
    <row r="41" customFormat="false" ht="15" hidden="false" customHeight="false" outlineLevel="0" collapsed="false">
      <c r="A41" s="12"/>
      <c r="B41" s="12"/>
      <c r="C41" s="13"/>
      <c r="D41" s="13"/>
      <c r="E41" s="13"/>
      <c r="F41" s="13"/>
      <c r="G41" s="13"/>
      <c r="H41" s="13"/>
      <c r="I41" s="13"/>
      <c r="J41" s="14" t="n">
        <f aca="false">SUMPRODUCT(COUNTIF(C41:I41,'Shift codes'!$A$2:$A$9),'Shift codes'!$C$2:$C$9)</f>
        <v>0</v>
      </c>
      <c r="K41" s="12"/>
    </row>
    <row r="42" customFormat="false" ht="15" hidden="false" customHeight="false" outlineLevel="0" collapsed="false">
      <c r="A42" s="15"/>
      <c r="B42" s="15"/>
      <c r="C42" s="16"/>
      <c r="D42" s="16"/>
      <c r="E42" s="16"/>
      <c r="F42" s="16"/>
      <c r="G42" s="16"/>
      <c r="H42" s="16"/>
      <c r="I42" s="16"/>
      <c r="J42" s="11" t="n">
        <f aca="false">SUMPRODUCT(COUNTIF(C42:I42,'Shift codes'!$A$2:$A$9),'Shift codes'!$C$2:$C$9)</f>
        <v>0</v>
      </c>
      <c r="K42" s="15"/>
    </row>
    <row r="43" customFormat="false" ht="15" hidden="false" customHeight="false" outlineLevel="0" collapsed="false">
      <c r="A43" s="12"/>
      <c r="B43" s="12"/>
      <c r="C43" s="13"/>
      <c r="D43" s="13"/>
      <c r="E43" s="13"/>
      <c r="F43" s="13"/>
      <c r="G43" s="13"/>
      <c r="H43" s="13"/>
      <c r="I43" s="13"/>
      <c r="J43" s="14" t="n">
        <f aca="false">SUMPRODUCT(COUNTIF(C43:I43,'Shift codes'!$A$2:$A$9),'Shift codes'!$C$2:$C$9)</f>
        <v>0</v>
      </c>
      <c r="K43" s="12"/>
    </row>
    <row r="44" customFormat="false" ht="15" hidden="false" customHeight="false" outlineLevel="0" collapsed="false">
      <c r="A44" s="15"/>
      <c r="B44" s="15"/>
      <c r="C44" s="16"/>
      <c r="D44" s="16"/>
      <c r="E44" s="16"/>
      <c r="F44" s="16"/>
      <c r="G44" s="16"/>
      <c r="H44" s="16"/>
      <c r="I44" s="16"/>
      <c r="J44" s="11" t="n">
        <f aca="false">SUMPRODUCT(COUNTIF(C44:I44,'Shift codes'!$A$2:$A$9),'Shift codes'!$C$2:$C$9)</f>
        <v>0</v>
      </c>
      <c r="K44" s="15"/>
    </row>
    <row r="45" customFormat="false" ht="15" hidden="false" customHeight="false" outlineLevel="0" collapsed="false">
      <c r="A45" s="12"/>
      <c r="B45" s="12"/>
      <c r="C45" s="13"/>
      <c r="D45" s="13"/>
      <c r="E45" s="13"/>
      <c r="F45" s="13"/>
      <c r="G45" s="13"/>
      <c r="H45" s="13"/>
      <c r="I45" s="13"/>
      <c r="J45" s="14" t="n">
        <f aca="false">SUMPRODUCT(COUNTIF(C45:I45,'Shift codes'!$A$2:$A$9),'Shift codes'!$C$2:$C$9)</f>
        <v>0</v>
      </c>
      <c r="K45" s="12"/>
    </row>
    <row r="46" customFormat="false" ht="15" hidden="false" customHeight="false" outlineLevel="0" collapsed="false">
      <c r="A46" s="15"/>
      <c r="B46" s="15"/>
      <c r="C46" s="16"/>
      <c r="D46" s="16"/>
      <c r="E46" s="16"/>
      <c r="F46" s="16"/>
      <c r="G46" s="16"/>
      <c r="H46" s="16"/>
      <c r="I46" s="16"/>
      <c r="J46" s="11" t="n">
        <f aca="false">SUMPRODUCT(COUNTIF(C46:I46,'Shift codes'!$A$2:$A$9),'Shift codes'!$C$2:$C$9)</f>
        <v>0</v>
      </c>
      <c r="K46" s="15"/>
    </row>
    <row r="47" customFormat="false" ht="15" hidden="false" customHeight="false" outlineLevel="0" collapsed="false">
      <c r="A47" s="12"/>
      <c r="B47" s="12"/>
      <c r="C47" s="13"/>
      <c r="D47" s="13"/>
      <c r="E47" s="13"/>
      <c r="F47" s="13"/>
      <c r="G47" s="13"/>
      <c r="H47" s="13"/>
      <c r="I47" s="13"/>
      <c r="J47" s="14" t="n">
        <f aca="false">SUMPRODUCT(COUNTIF(C47:I47,'Shift codes'!$A$2:$A$9),'Shift codes'!$C$2:$C$9)</f>
        <v>0</v>
      </c>
      <c r="K47" s="12"/>
    </row>
    <row r="49" customFormat="false" ht="15" hidden="false" customHeight="false" outlineLevel="0" collapsed="false">
      <c r="A49" s="17" t="s">
        <v>25</v>
      </c>
      <c r="B49" s="2" t="s">
        <v>26</v>
      </c>
    </row>
    <row r="50" customFormat="false" ht="15" hidden="false" customHeight="false" outlineLevel="0" collapsed="false">
      <c r="A50" s="18" t="s">
        <v>27</v>
      </c>
      <c r="B50" s="18"/>
      <c r="C50" s="18" t="s">
        <v>8</v>
      </c>
      <c r="D50" s="18" t="s">
        <v>9</v>
      </c>
      <c r="E50" s="18" t="s">
        <v>10</v>
      </c>
      <c r="F50" s="18" t="s">
        <v>11</v>
      </c>
      <c r="G50" s="18" t="s">
        <v>12</v>
      </c>
      <c r="H50" s="18" t="s">
        <v>13</v>
      </c>
      <c r="I50" s="18" t="s">
        <v>14</v>
      </c>
    </row>
    <row r="51" customFormat="false" ht="15" hidden="false" customHeight="false" outlineLevel="0" collapsed="false">
      <c r="A51" s="15" t="s">
        <v>28</v>
      </c>
      <c r="B51" s="15"/>
      <c r="C51" s="19" t="n">
        <f aca="false">COUNTIF(C8:C47,"D")+COUNTIF(C8:C47,"D12")</f>
        <v>1</v>
      </c>
      <c r="D51" s="19" t="n">
        <f aca="false">COUNTIF(D8:D47,"D")+COUNTIF(D8:D47,"D12")</f>
        <v>1</v>
      </c>
      <c r="E51" s="19" t="n">
        <f aca="false">COUNTIF(E8:E47,"D")+COUNTIF(E8:E47,"D12")</f>
        <v>0</v>
      </c>
      <c r="F51" s="19" t="n">
        <f aca="false">COUNTIF(F8:F47,"D")+COUNTIF(F8:F47,"D12")</f>
        <v>0</v>
      </c>
      <c r="G51" s="19" t="n">
        <f aca="false">COUNTIF(G8:G47,"D")+COUNTIF(G8:G47,"D12")</f>
        <v>1</v>
      </c>
      <c r="H51" s="19" t="n">
        <f aca="false">COUNTIF(H8:H47,"D")+COUNTIF(H8:H47,"D12")</f>
        <v>0</v>
      </c>
      <c r="I51" s="19" t="n">
        <f aca="false">COUNTIF(I8:I47,"D")+COUNTIF(I8:I47,"D12")</f>
        <v>1</v>
      </c>
    </row>
    <row r="52" customFormat="false" ht="15" hidden="false" customHeight="false" outlineLevel="0" collapsed="false">
      <c r="A52" s="15" t="s">
        <v>29</v>
      </c>
      <c r="B52" s="15"/>
      <c r="C52" s="20"/>
      <c r="D52" s="20"/>
      <c r="E52" s="20"/>
      <c r="F52" s="20"/>
      <c r="G52" s="20"/>
      <c r="H52" s="20"/>
      <c r="I52" s="20"/>
    </row>
    <row r="53" customFormat="false" ht="15" hidden="false" customHeight="false" outlineLevel="0" collapsed="false">
      <c r="A53" s="21" t="s">
        <v>30</v>
      </c>
      <c r="B53" s="15"/>
      <c r="C53" s="16" t="str">
        <f aca="false">IF(C52="","",MAX(0,C52-C51))</f>
        <v/>
      </c>
      <c r="D53" s="16" t="str">
        <f aca="false">IF(D52="","",MAX(0,D52-D51))</f>
        <v/>
      </c>
      <c r="E53" s="16" t="str">
        <f aca="false">IF(E52="","",MAX(0,E52-E51))</f>
        <v/>
      </c>
      <c r="F53" s="16" t="str">
        <f aca="false">IF(F52="","",MAX(0,F52-F51))</f>
        <v/>
      </c>
      <c r="G53" s="16" t="str">
        <f aca="false">IF(G52="","",MAX(0,G52-G51))</f>
        <v/>
      </c>
      <c r="H53" s="16" t="str">
        <f aca="false">IF(H52="","",MAX(0,H52-H51))</f>
        <v/>
      </c>
      <c r="I53" s="16" t="str">
        <f aca="false">IF(I52="","",MAX(0,I52-I51))</f>
        <v/>
      </c>
    </row>
    <row r="54" customFormat="false" ht="15" hidden="false" customHeight="false" outlineLevel="0" collapsed="false">
      <c r="A54" s="15" t="s">
        <v>31</v>
      </c>
      <c r="B54" s="15"/>
      <c r="C54" s="19" t="n">
        <f aca="false">COUNTIF(C8:C47,"E")</f>
        <v>0</v>
      </c>
      <c r="D54" s="19" t="n">
        <f aca="false">COUNTIF(D8:D47,"E")</f>
        <v>0</v>
      </c>
      <c r="E54" s="19" t="n">
        <f aca="false">COUNTIF(E8:E47,"E")</f>
        <v>0</v>
      </c>
      <c r="F54" s="19" t="n">
        <f aca="false">COUNTIF(F8:F47,"E")</f>
        <v>1</v>
      </c>
      <c r="G54" s="19" t="n">
        <f aca="false">COUNTIF(G8:G47,"E")</f>
        <v>0</v>
      </c>
      <c r="H54" s="19" t="n">
        <f aca="false">COUNTIF(H8:H47,"E")</f>
        <v>0</v>
      </c>
      <c r="I54" s="19" t="n">
        <f aca="false">COUNTIF(I8:I47,"E")</f>
        <v>0</v>
      </c>
    </row>
    <row r="55" customFormat="false" ht="15" hidden="false" customHeight="false" outlineLevel="0" collapsed="false">
      <c r="A55" s="15" t="s">
        <v>32</v>
      </c>
      <c r="B55" s="15"/>
      <c r="C55" s="20"/>
      <c r="D55" s="20"/>
      <c r="E55" s="20"/>
      <c r="F55" s="20"/>
      <c r="G55" s="20"/>
      <c r="H55" s="20"/>
      <c r="I55" s="20"/>
    </row>
    <row r="56" customFormat="false" ht="15" hidden="false" customHeight="false" outlineLevel="0" collapsed="false">
      <c r="A56" s="21" t="s">
        <v>33</v>
      </c>
      <c r="B56" s="15"/>
      <c r="C56" s="16" t="str">
        <f aca="false">IF(C55="","",MAX(0,C55-C54))</f>
        <v/>
      </c>
      <c r="D56" s="16" t="str">
        <f aca="false">IF(D55="","",MAX(0,D55-D54))</f>
        <v/>
      </c>
      <c r="E56" s="16" t="str">
        <f aca="false">IF(E55="","",MAX(0,E55-E54))</f>
        <v/>
      </c>
      <c r="F56" s="16" t="str">
        <f aca="false">IF(F55="","",MAX(0,F55-F54))</f>
        <v/>
      </c>
      <c r="G56" s="16" t="str">
        <f aca="false">IF(G55="","",MAX(0,G55-G54))</f>
        <v/>
      </c>
      <c r="H56" s="16" t="str">
        <f aca="false">IF(H55="","",MAX(0,H55-H54))</f>
        <v/>
      </c>
      <c r="I56" s="16" t="str">
        <f aca="false">IF(I55="","",MAX(0,I55-I54))</f>
        <v/>
      </c>
    </row>
    <row r="57" customFormat="false" ht="15" hidden="false" customHeight="false" outlineLevel="0" collapsed="false">
      <c r="A57" s="15" t="s">
        <v>34</v>
      </c>
      <c r="B57" s="15"/>
      <c r="C57" s="19" t="n">
        <f aca="false">COUNTIF(C8:C47,"N")+COUNTIF(C8:C47,"N12")</f>
        <v>0</v>
      </c>
      <c r="D57" s="19" t="n">
        <f aca="false">COUNTIF(D8:D47,"N")+COUNTIF(D8:D47,"N12")</f>
        <v>0</v>
      </c>
      <c r="E57" s="19" t="n">
        <f aca="false">COUNTIF(E8:E47,"N")+COUNTIF(E8:E47,"N12")</f>
        <v>0</v>
      </c>
      <c r="F57" s="19" t="n">
        <f aca="false">COUNTIF(F8:F47,"N")+COUNTIF(F8:F47,"N12")</f>
        <v>0</v>
      </c>
      <c r="G57" s="19" t="n">
        <f aca="false">COUNTIF(G8:G47,"N")+COUNTIF(G8:G47,"N12")</f>
        <v>0</v>
      </c>
      <c r="H57" s="19" t="n">
        <f aca="false">COUNTIF(H8:H47,"N")+COUNTIF(H8:H47,"N12")</f>
        <v>0</v>
      </c>
      <c r="I57" s="19" t="n">
        <f aca="false">COUNTIF(I8:I47,"N")+COUNTIF(I8:I47,"N12")</f>
        <v>0</v>
      </c>
    </row>
    <row r="58" customFormat="false" ht="15" hidden="false" customHeight="false" outlineLevel="0" collapsed="false">
      <c r="A58" s="15" t="s">
        <v>35</v>
      </c>
      <c r="B58" s="15"/>
      <c r="C58" s="20"/>
      <c r="D58" s="20"/>
      <c r="E58" s="20"/>
      <c r="F58" s="20"/>
      <c r="G58" s="20"/>
      <c r="H58" s="20"/>
      <c r="I58" s="20"/>
    </row>
    <row r="59" customFormat="false" ht="15" hidden="false" customHeight="false" outlineLevel="0" collapsed="false">
      <c r="A59" s="21" t="s">
        <v>36</v>
      </c>
      <c r="B59" s="15"/>
      <c r="C59" s="16" t="str">
        <f aca="false">IF(C58="","",MAX(0,C58-C57))</f>
        <v/>
      </c>
      <c r="D59" s="16" t="str">
        <f aca="false">IF(D58="","",MAX(0,D58-D57))</f>
        <v/>
      </c>
      <c r="E59" s="16" t="str">
        <f aca="false">IF(E58="","",MAX(0,E58-E57))</f>
        <v/>
      </c>
      <c r="F59" s="16" t="str">
        <f aca="false">IF(F58="","",MAX(0,F58-F57))</f>
        <v/>
      </c>
      <c r="G59" s="16" t="str">
        <f aca="false">IF(G58="","",MAX(0,G58-G57))</f>
        <v/>
      </c>
      <c r="H59" s="16" t="str">
        <f aca="false">IF(H58="","",MAX(0,H58-H57))</f>
        <v/>
      </c>
      <c r="I59" s="16" t="str">
        <f aca="false">IF(I58="","",MAX(0,I58-I57))</f>
        <v/>
      </c>
    </row>
    <row r="61" customFormat="false" ht="15" hidden="false" customHeight="false" outlineLevel="0" collapsed="false">
      <c r="A61" s="22" t="s">
        <v>37</v>
      </c>
    </row>
  </sheetData>
  <conditionalFormatting sqref="J8:J47">
    <cfRule type="expression" priority="2" aboveAverage="0" equalAverage="0" bottom="0" percent="0" rank="0" text="" dxfId="0">
      <formula>J8&gt;40</formula>
    </cfRule>
  </conditionalFormatting>
  <conditionalFormatting sqref="C8:I47">
    <cfRule type="expression" priority="3" aboveAverage="0" equalAverage="0" bottom="0" percent="0" rank="0" text="" dxfId="1">
      <formula>C8="CO"</formula>
    </cfRule>
  </conditionalFormatting>
  <conditionalFormatting sqref="C53">
    <cfRule type="expression" priority="4" aboveAverage="0" equalAverage="0" bottom="0" percent="0" rank="0" text="" dxfId="1">
      <formula>AND(C53&lt;&gt;"",C53&gt;0)</formula>
    </cfRule>
  </conditionalFormatting>
  <conditionalFormatting sqref="D53">
    <cfRule type="expression" priority="5" aboveAverage="0" equalAverage="0" bottom="0" percent="0" rank="0" text="" dxfId="1">
      <formula>AND(D53&lt;&gt;"",D53&gt;0)</formula>
    </cfRule>
  </conditionalFormatting>
  <conditionalFormatting sqref="E53">
    <cfRule type="expression" priority="6" aboveAverage="0" equalAverage="0" bottom="0" percent="0" rank="0" text="" dxfId="1">
      <formula>AND(E53&lt;&gt;"",E53&gt;0)</formula>
    </cfRule>
  </conditionalFormatting>
  <conditionalFormatting sqref="F53">
    <cfRule type="expression" priority="7" aboveAverage="0" equalAverage="0" bottom="0" percent="0" rank="0" text="" dxfId="1">
      <formula>AND(F53&lt;&gt;"",F53&gt;0)</formula>
    </cfRule>
  </conditionalFormatting>
  <conditionalFormatting sqref="G53">
    <cfRule type="expression" priority="8" aboveAverage="0" equalAverage="0" bottom="0" percent="0" rank="0" text="" dxfId="1">
      <formula>AND(G53&lt;&gt;"",G53&gt;0)</formula>
    </cfRule>
  </conditionalFormatting>
  <conditionalFormatting sqref="H53">
    <cfRule type="expression" priority="9" aboveAverage="0" equalAverage="0" bottom="0" percent="0" rank="0" text="" dxfId="1">
      <formula>AND(H53&lt;&gt;"",H53&gt;0)</formula>
    </cfRule>
  </conditionalFormatting>
  <conditionalFormatting sqref="I53">
    <cfRule type="expression" priority="10" aboveAverage="0" equalAverage="0" bottom="0" percent="0" rank="0" text="" dxfId="1">
      <formula>AND(I53&lt;&gt;"",I53&gt;0)</formula>
    </cfRule>
  </conditionalFormatting>
  <conditionalFormatting sqref="C56">
    <cfRule type="expression" priority="11" aboveAverage="0" equalAverage="0" bottom="0" percent="0" rank="0" text="" dxfId="1">
      <formula>AND(C56&lt;&gt;"",C56&gt;0)</formula>
    </cfRule>
  </conditionalFormatting>
  <conditionalFormatting sqref="D56">
    <cfRule type="expression" priority="12" aboveAverage="0" equalAverage="0" bottom="0" percent="0" rank="0" text="" dxfId="1">
      <formula>AND(D56&lt;&gt;"",D56&gt;0)</formula>
    </cfRule>
  </conditionalFormatting>
  <conditionalFormatting sqref="E56">
    <cfRule type="expression" priority="13" aboveAverage="0" equalAverage="0" bottom="0" percent="0" rank="0" text="" dxfId="1">
      <formula>AND(E56&lt;&gt;"",E56&gt;0)</formula>
    </cfRule>
  </conditionalFormatting>
  <conditionalFormatting sqref="F56">
    <cfRule type="expression" priority="14" aboveAverage="0" equalAverage="0" bottom="0" percent="0" rank="0" text="" dxfId="1">
      <formula>AND(F56&lt;&gt;"",F56&gt;0)</formula>
    </cfRule>
  </conditionalFormatting>
  <conditionalFormatting sqref="G56">
    <cfRule type="expression" priority="15" aboveAverage="0" equalAverage="0" bottom="0" percent="0" rank="0" text="" dxfId="1">
      <formula>AND(G56&lt;&gt;"",G56&gt;0)</formula>
    </cfRule>
  </conditionalFormatting>
  <conditionalFormatting sqref="H56">
    <cfRule type="expression" priority="16" aboveAverage="0" equalAverage="0" bottom="0" percent="0" rank="0" text="" dxfId="1">
      <formula>AND(H56&lt;&gt;"",H56&gt;0)</formula>
    </cfRule>
  </conditionalFormatting>
  <conditionalFormatting sqref="I56">
    <cfRule type="expression" priority="17" aboveAverage="0" equalAverage="0" bottom="0" percent="0" rank="0" text="" dxfId="1">
      <formula>AND(I56&lt;&gt;"",I56&gt;0)</formula>
    </cfRule>
  </conditionalFormatting>
  <conditionalFormatting sqref="C59">
    <cfRule type="expression" priority="18" aboveAverage="0" equalAverage="0" bottom="0" percent="0" rank="0" text="" dxfId="1">
      <formula>AND(C59&lt;&gt;"",C59&gt;0)</formula>
    </cfRule>
  </conditionalFormatting>
  <conditionalFormatting sqref="D59">
    <cfRule type="expression" priority="19" aboveAverage="0" equalAverage="0" bottom="0" percent="0" rank="0" text="" dxfId="1">
      <formula>AND(D59&lt;&gt;"",D59&gt;0)</formula>
    </cfRule>
  </conditionalFormatting>
  <conditionalFormatting sqref="E59">
    <cfRule type="expression" priority="20" aboveAverage="0" equalAverage="0" bottom="0" percent="0" rank="0" text="" dxfId="1">
      <formula>AND(E59&lt;&gt;"",E59&gt;0)</formula>
    </cfRule>
  </conditionalFormatting>
  <conditionalFormatting sqref="F59">
    <cfRule type="expression" priority="21" aboveAverage="0" equalAverage="0" bottom="0" percent="0" rank="0" text="" dxfId="1">
      <formula>AND(F59&lt;&gt;"",F59&gt;0)</formula>
    </cfRule>
  </conditionalFormatting>
  <conditionalFormatting sqref="G59">
    <cfRule type="expression" priority="22" aboveAverage="0" equalAverage="0" bottom="0" percent="0" rank="0" text="" dxfId="1">
      <formula>AND(G59&lt;&gt;"",G59&gt;0)</formula>
    </cfRule>
  </conditionalFormatting>
  <conditionalFormatting sqref="H59">
    <cfRule type="expression" priority="23" aboveAverage="0" equalAverage="0" bottom="0" percent="0" rank="0" text="" dxfId="1">
      <formula>AND(H59&lt;&gt;"",H59&gt;0)</formula>
    </cfRule>
  </conditionalFormatting>
  <conditionalFormatting sqref="I59">
    <cfRule type="expression" priority="24" aboveAverage="0" equalAverage="0" bottom="0" percent="0" rank="0" text="" dxfId="1">
      <formula>AND(I59&lt;&gt;"",I59&gt;0)</formula>
    </cfRule>
  </conditionalFormatting>
  <dataValidations count="1">
    <dataValidation allowBlank="true" error="Use a code from the Shift codes tab." errorStyle="stop" errorTitle="Shift code" operator="between" showDropDown="false" showErrorMessage="true" showInputMessage="false" sqref="C8:I47" type="list">
      <formula1>'Shift codes'!$A$2:$A$9</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8"/>
    <col collapsed="false" customWidth="true" hidden="false" outlineLevel="0" max="3" min="3" style="0" width="22"/>
    <col collapsed="false" customWidth="true" hidden="false" outlineLevel="0" max="4" min="4" style="0" width="12"/>
    <col collapsed="false" customWidth="true" hidden="false" outlineLevel="0" max="6" min="5" style="0" width="22"/>
    <col collapsed="false" customWidth="true" hidden="false" outlineLevel="0" max="7" min="7" style="0" width="13"/>
    <col collapsed="false" customWidth="true" hidden="false" outlineLevel="0" max="8" min="8" style="0" width="15"/>
    <col collapsed="false" customWidth="true" hidden="false" outlineLevel="0" max="9" min="9" style="0" width="30"/>
  </cols>
  <sheetData>
    <row r="1" customFormat="false" ht="15" hidden="false" customHeight="false" outlineLevel="0" collapsed="false">
      <c r="A1" s="18" t="s">
        <v>38</v>
      </c>
      <c r="B1" s="18" t="s">
        <v>27</v>
      </c>
      <c r="C1" s="18" t="s">
        <v>39</v>
      </c>
      <c r="D1" s="18" t="s">
        <v>40</v>
      </c>
      <c r="E1" s="18" t="s">
        <v>41</v>
      </c>
      <c r="F1" s="18" t="s">
        <v>42</v>
      </c>
      <c r="G1" s="18" t="s">
        <v>43</v>
      </c>
      <c r="H1" s="18" t="s">
        <v>44</v>
      </c>
      <c r="I1" s="18" t="s">
        <v>16</v>
      </c>
    </row>
    <row r="2" customFormat="false" ht="15" hidden="false" customHeight="false" outlineLevel="0" collapsed="false">
      <c r="A2" s="23"/>
      <c r="B2" s="15"/>
      <c r="C2" s="15"/>
      <c r="D2" s="24"/>
      <c r="E2" s="15"/>
      <c r="F2" s="15"/>
      <c r="G2" s="24"/>
      <c r="H2" s="15"/>
      <c r="I2" s="15"/>
    </row>
    <row r="3" customFormat="false" ht="15" hidden="false" customHeight="false" outlineLevel="0" collapsed="false">
      <c r="A3" s="25"/>
      <c r="B3" s="12"/>
      <c r="C3" s="12"/>
      <c r="D3" s="26"/>
      <c r="E3" s="12"/>
      <c r="F3" s="12"/>
      <c r="G3" s="26"/>
      <c r="H3" s="12"/>
      <c r="I3" s="12"/>
    </row>
    <row r="4" customFormat="false" ht="15" hidden="false" customHeight="false" outlineLevel="0" collapsed="false">
      <c r="A4" s="23"/>
      <c r="B4" s="15"/>
      <c r="C4" s="15"/>
      <c r="D4" s="24"/>
      <c r="E4" s="15"/>
      <c r="F4" s="15"/>
      <c r="G4" s="24"/>
      <c r="H4" s="15"/>
      <c r="I4" s="15"/>
    </row>
    <row r="5" customFormat="false" ht="15" hidden="false" customHeight="false" outlineLevel="0" collapsed="false">
      <c r="A5" s="25"/>
      <c r="B5" s="12"/>
      <c r="C5" s="12"/>
      <c r="D5" s="26"/>
      <c r="E5" s="12"/>
      <c r="F5" s="12"/>
      <c r="G5" s="26"/>
      <c r="H5" s="12"/>
      <c r="I5" s="12"/>
    </row>
    <row r="6" customFormat="false" ht="15" hidden="false" customHeight="false" outlineLevel="0" collapsed="false">
      <c r="A6" s="23"/>
      <c r="B6" s="15"/>
      <c r="C6" s="15"/>
      <c r="D6" s="24"/>
      <c r="E6" s="15"/>
      <c r="F6" s="15"/>
      <c r="G6" s="24"/>
      <c r="H6" s="15"/>
      <c r="I6" s="15"/>
    </row>
    <row r="7" customFormat="false" ht="15" hidden="false" customHeight="false" outlineLevel="0" collapsed="false">
      <c r="A7" s="25"/>
      <c r="B7" s="12"/>
      <c r="C7" s="12"/>
      <c r="D7" s="26"/>
      <c r="E7" s="12"/>
      <c r="F7" s="12"/>
      <c r="G7" s="26"/>
      <c r="H7" s="12"/>
      <c r="I7" s="12"/>
    </row>
    <row r="8" customFormat="false" ht="15" hidden="false" customHeight="false" outlineLevel="0" collapsed="false">
      <c r="A8" s="23"/>
      <c r="B8" s="15"/>
      <c r="C8" s="15"/>
      <c r="D8" s="24"/>
      <c r="E8" s="15"/>
      <c r="F8" s="15"/>
      <c r="G8" s="24"/>
      <c r="H8" s="15"/>
      <c r="I8" s="15"/>
    </row>
    <row r="9" customFormat="false" ht="15" hidden="false" customHeight="false" outlineLevel="0" collapsed="false">
      <c r="A9" s="25"/>
      <c r="B9" s="12"/>
      <c r="C9" s="12"/>
      <c r="D9" s="26"/>
      <c r="E9" s="12"/>
      <c r="F9" s="12"/>
      <c r="G9" s="26"/>
      <c r="H9" s="12"/>
      <c r="I9" s="12"/>
    </row>
    <row r="10" customFormat="false" ht="15" hidden="false" customHeight="false" outlineLevel="0" collapsed="false">
      <c r="A10" s="23"/>
      <c r="B10" s="15"/>
      <c r="C10" s="15"/>
      <c r="D10" s="24"/>
      <c r="E10" s="15"/>
      <c r="F10" s="15"/>
      <c r="G10" s="24"/>
      <c r="H10" s="15"/>
      <c r="I10" s="15"/>
    </row>
    <row r="11" customFormat="false" ht="15" hidden="false" customHeight="false" outlineLevel="0" collapsed="false">
      <c r="A11" s="25"/>
      <c r="B11" s="12"/>
      <c r="C11" s="12"/>
      <c r="D11" s="26"/>
      <c r="E11" s="12"/>
      <c r="F11" s="12"/>
      <c r="G11" s="26"/>
      <c r="H11" s="12"/>
      <c r="I11" s="12"/>
    </row>
    <row r="12" customFormat="false" ht="15" hidden="false" customHeight="false" outlineLevel="0" collapsed="false">
      <c r="A12" s="23"/>
      <c r="B12" s="15"/>
      <c r="C12" s="15"/>
      <c r="D12" s="24"/>
      <c r="E12" s="15"/>
      <c r="F12" s="15"/>
      <c r="G12" s="24"/>
      <c r="H12" s="15"/>
      <c r="I12" s="15"/>
    </row>
    <row r="13" customFormat="false" ht="15" hidden="false" customHeight="false" outlineLevel="0" collapsed="false">
      <c r="A13" s="25"/>
      <c r="B13" s="12"/>
      <c r="C13" s="12"/>
      <c r="D13" s="26"/>
      <c r="E13" s="12"/>
      <c r="F13" s="12"/>
      <c r="G13" s="26"/>
      <c r="H13" s="12"/>
      <c r="I13" s="12"/>
    </row>
    <row r="14" customFormat="false" ht="15" hidden="false" customHeight="false" outlineLevel="0" collapsed="false">
      <c r="A14" s="23"/>
      <c r="B14" s="15"/>
      <c r="C14" s="15"/>
      <c r="D14" s="24"/>
      <c r="E14" s="15"/>
      <c r="F14" s="15"/>
      <c r="G14" s="24"/>
      <c r="H14" s="15"/>
      <c r="I14" s="15"/>
    </row>
    <row r="15" customFormat="false" ht="15" hidden="false" customHeight="false" outlineLevel="0" collapsed="false">
      <c r="A15" s="25"/>
      <c r="B15" s="12"/>
      <c r="C15" s="12"/>
      <c r="D15" s="26"/>
      <c r="E15" s="12"/>
      <c r="F15" s="12"/>
      <c r="G15" s="26"/>
      <c r="H15" s="12"/>
      <c r="I15" s="12"/>
    </row>
    <row r="16" customFormat="false" ht="15" hidden="false" customHeight="false" outlineLevel="0" collapsed="false">
      <c r="A16" s="23"/>
      <c r="B16" s="15"/>
      <c r="C16" s="15"/>
      <c r="D16" s="24"/>
      <c r="E16" s="15"/>
      <c r="F16" s="15"/>
      <c r="G16" s="24"/>
      <c r="H16" s="15"/>
      <c r="I16" s="15"/>
    </row>
    <row r="17" customFormat="false" ht="15" hidden="false" customHeight="false" outlineLevel="0" collapsed="false">
      <c r="A17" s="25"/>
      <c r="B17" s="12"/>
      <c r="C17" s="12"/>
      <c r="D17" s="26"/>
      <c r="E17" s="12"/>
      <c r="F17" s="12"/>
      <c r="G17" s="26"/>
      <c r="H17" s="12"/>
      <c r="I17" s="12"/>
    </row>
    <row r="18" customFormat="false" ht="15" hidden="false" customHeight="false" outlineLevel="0" collapsed="false">
      <c r="A18" s="23"/>
      <c r="B18" s="15"/>
      <c r="C18" s="15"/>
      <c r="D18" s="24"/>
      <c r="E18" s="15"/>
      <c r="F18" s="15"/>
      <c r="G18" s="24"/>
      <c r="H18" s="15"/>
      <c r="I18" s="15"/>
    </row>
    <row r="19" customFormat="false" ht="15" hidden="false" customHeight="false" outlineLevel="0" collapsed="false">
      <c r="A19" s="25"/>
      <c r="B19" s="12"/>
      <c r="C19" s="12"/>
      <c r="D19" s="26"/>
      <c r="E19" s="12"/>
      <c r="F19" s="12"/>
      <c r="G19" s="26"/>
      <c r="H19" s="12"/>
      <c r="I19" s="12"/>
    </row>
    <row r="20" customFormat="false" ht="15" hidden="false" customHeight="false" outlineLevel="0" collapsed="false">
      <c r="A20" s="23"/>
      <c r="B20" s="15"/>
      <c r="C20" s="15"/>
      <c r="D20" s="24"/>
      <c r="E20" s="15"/>
      <c r="F20" s="15"/>
      <c r="G20" s="24"/>
      <c r="H20" s="15"/>
      <c r="I20" s="15"/>
    </row>
    <row r="21" customFormat="false" ht="15" hidden="false" customHeight="false" outlineLevel="0" collapsed="false">
      <c r="A21" s="25"/>
      <c r="B21" s="12"/>
      <c r="C21" s="12"/>
      <c r="D21" s="26"/>
      <c r="E21" s="12"/>
      <c r="F21" s="12"/>
      <c r="G21" s="26"/>
      <c r="H21" s="12"/>
      <c r="I21" s="12"/>
    </row>
    <row r="22" customFormat="false" ht="15" hidden="false" customHeight="false" outlineLevel="0" collapsed="false">
      <c r="A22" s="23"/>
      <c r="B22" s="15"/>
      <c r="C22" s="15"/>
      <c r="D22" s="24"/>
      <c r="E22" s="15"/>
      <c r="F22" s="15"/>
      <c r="G22" s="24"/>
      <c r="H22" s="15"/>
      <c r="I22" s="15"/>
    </row>
    <row r="23" customFormat="false" ht="15" hidden="false" customHeight="false" outlineLevel="0" collapsed="false">
      <c r="A23" s="25"/>
      <c r="B23" s="12"/>
      <c r="C23" s="12"/>
      <c r="D23" s="26"/>
      <c r="E23" s="12"/>
      <c r="F23" s="12"/>
      <c r="G23" s="26"/>
      <c r="H23" s="12"/>
      <c r="I23" s="12"/>
    </row>
    <row r="24" customFormat="false" ht="15" hidden="false" customHeight="false" outlineLevel="0" collapsed="false">
      <c r="A24" s="23"/>
      <c r="B24" s="15"/>
      <c r="C24" s="15"/>
      <c r="D24" s="24"/>
      <c r="E24" s="15"/>
      <c r="F24" s="15"/>
      <c r="G24" s="24"/>
      <c r="H24" s="15"/>
      <c r="I24" s="15"/>
    </row>
    <row r="25" customFormat="false" ht="15" hidden="false" customHeight="false" outlineLevel="0" collapsed="false">
      <c r="A25" s="25"/>
      <c r="B25" s="12"/>
      <c r="C25" s="12"/>
      <c r="D25" s="26"/>
      <c r="E25" s="12"/>
      <c r="F25" s="12"/>
      <c r="G25" s="26"/>
      <c r="H25" s="12"/>
      <c r="I25" s="12"/>
    </row>
    <row r="26" customFormat="false" ht="15" hidden="false" customHeight="false" outlineLevel="0" collapsed="false">
      <c r="A26" s="23"/>
      <c r="B26" s="15"/>
      <c r="C26" s="15"/>
      <c r="D26" s="24"/>
      <c r="E26" s="15"/>
      <c r="F26" s="15"/>
      <c r="G26" s="24"/>
      <c r="H26" s="15"/>
      <c r="I26" s="15"/>
    </row>
    <row r="27" customFormat="false" ht="15" hidden="false" customHeight="false" outlineLevel="0" collapsed="false">
      <c r="A27" s="25"/>
      <c r="B27" s="12"/>
      <c r="C27" s="12"/>
      <c r="D27" s="26"/>
      <c r="E27" s="12"/>
      <c r="F27" s="12"/>
      <c r="G27" s="26"/>
      <c r="H27" s="12"/>
      <c r="I27" s="12"/>
    </row>
    <row r="28" customFormat="false" ht="15" hidden="false" customHeight="false" outlineLevel="0" collapsed="false">
      <c r="A28" s="23"/>
      <c r="B28" s="15"/>
      <c r="C28" s="15"/>
      <c r="D28" s="24"/>
      <c r="E28" s="15"/>
      <c r="F28" s="15"/>
      <c r="G28" s="24"/>
      <c r="H28" s="15"/>
      <c r="I28" s="15"/>
    </row>
    <row r="29" customFormat="false" ht="15" hidden="false" customHeight="false" outlineLevel="0" collapsed="false">
      <c r="A29" s="25"/>
      <c r="B29" s="12"/>
      <c r="C29" s="12"/>
      <c r="D29" s="26"/>
      <c r="E29" s="12"/>
      <c r="F29" s="12"/>
      <c r="G29" s="26"/>
      <c r="H29" s="12"/>
      <c r="I29" s="12"/>
    </row>
    <row r="30" customFormat="false" ht="15" hidden="false" customHeight="false" outlineLevel="0" collapsed="false">
      <c r="A30" s="23"/>
      <c r="B30" s="15"/>
      <c r="C30" s="15"/>
      <c r="D30" s="24"/>
      <c r="E30" s="15"/>
      <c r="F30" s="15"/>
      <c r="G30" s="24"/>
      <c r="H30" s="15"/>
      <c r="I30" s="15"/>
    </row>
    <row r="31" customFormat="false" ht="15" hidden="false" customHeight="false" outlineLevel="0" collapsed="false">
      <c r="A31" s="25"/>
      <c r="B31" s="12"/>
      <c r="C31" s="12"/>
      <c r="D31" s="26"/>
      <c r="E31" s="12"/>
      <c r="F31" s="12"/>
      <c r="G31" s="26"/>
      <c r="H31" s="12"/>
      <c r="I31" s="12"/>
    </row>
    <row r="32" customFormat="false" ht="15" hidden="false" customHeight="false" outlineLevel="0" collapsed="false">
      <c r="A32" s="23"/>
      <c r="B32" s="15"/>
      <c r="C32" s="15"/>
      <c r="D32" s="24"/>
      <c r="E32" s="15"/>
      <c r="F32" s="15"/>
      <c r="G32" s="24"/>
      <c r="H32" s="15"/>
      <c r="I32" s="15"/>
    </row>
    <row r="33" customFormat="false" ht="15" hidden="false" customHeight="false" outlineLevel="0" collapsed="false">
      <c r="A33" s="25"/>
      <c r="B33" s="12"/>
      <c r="C33" s="12"/>
      <c r="D33" s="26"/>
      <c r="E33" s="12"/>
      <c r="F33" s="12"/>
      <c r="G33" s="26"/>
      <c r="H33" s="12"/>
      <c r="I33" s="12"/>
    </row>
    <row r="34" customFormat="false" ht="15" hidden="false" customHeight="false" outlineLevel="0" collapsed="false">
      <c r="A34" s="23"/>
      <c r="B34" s="15"/>
      <c r="C34" s="15"/>
      <c r="D34" s="24"/>
      <c r="E34" s="15"/>
      <c r="F34" s="15"/>
      <c r="G34" s="24"/>
      <c r="H34" s="15"/>
      <c r="I34" s="15"/>
    </row>
    <row r="35" customFormat="false" ht="15" hidden="false" customHeight="false" outlineLevel="0" collapsed="false">
      <c r="A35" s="25"/>
      <c r="B35" s="12"/>
      <c r="C35" s="12"/>
      <c r="D35" s="26"/>
      <c r="E35" s="12"/>
      <c r="F35" s="12"/>
      <c r="G35" s="26"/>
      <c r="H35" s="12"/>
      <c r="I35" s="12"/>
    </row>
    <row r="36" customFormat="false" ht="15" hidden="false" customHeight="false" outlineLevel="0" collapsed="false">
      <c r="A36" s="23"/>
      <c r="B36" s="15"/>
      <c r="C36" s="15"/>
      <c r="D36" s="24"/>
      <c r="E36" s="15"/>
      <c r="F36" s="15"/>
      <c r="G36" s="24"/>
      <c r="H36" s="15"/>
      <c r="I36" s="15"/>
    </row>
    <row r="37" customFormat="false" ht="15" hidden="false" customHeight="false" outlineLevel="0" collapsed="false">
      <c r="A37" s="25"/>
      <c r="B37" s="12"/>
      <c r="C37" s="12"/>
      <c r="D37" s="26"/>
      <c r="E37" s="12"/>
      <c r="F37" s="12"/>
      <c r="G37" s="26"/>
      <c r="H37" s="12"/>
      <c r="I37" s="12"/>
    </row>
    <row r="38" customFormat="false" ht="15" hidden="false" customHeight="false" outlineLevel="0" collapsed="false">
      <c r="A38" s="23"/>
      <c r="B38" s="15"/>
      <c r="C38" s="15"/>
      <c r="D38" s="24"/>
      <c r="E38" s="15"/>
      <c r="F38" s="15"/>
      <c r="G38" s="24"/>
      <c r="H38" s="15"/>
      <c r="I38" s="15"/>
    </row>
    <row r="39" customFormat="false" ht="15" hidden="false" customHeight="false" outlineLevel="0" collapsed="false">
      <c r="A39" s="25"/>
      <c r="B39" s="12"/>
      <c r="C39" s="12"/>
      <c r="D39" s="26"/>
      <c r="E39" s="12"/>
      <c r="F39" s="12"/>
      <c r="G39" s="26"/>
      <c r="H39" s="12"/>
      <c r="I39" s="12"/>
    </row>
    <row r="40" customFormat="false" ht="15" hidden="false" customHeight="false" outlineLevel="0" collapsed="false">
      <c r="A40" s="23"/>
      <c r="B40" s="15"/>
      <c r="C40" s="15"/>
      <c r="D40" s="24"/>
      <c r="E40" s="15"/>
      <c r="F40" s="15"/>
      <c r="G40" s="24"/>
      <c r="H40" s="15"/>
      <c r="I40" s="15"/>
    </row>
    <row r="41" customFormat="false" ht="15" hidden="false" customHeight="false" outlineLevel="0" collapsed="false">
      <c r="A41" s="25"/>
      <c r="B41" s="12"/>
      <c r="C41" s="12"/>
      <c r="D41" s="26"/>
      <c r="E41" s="12"/>
      <c r="F41" s="12"/>
      <c r="G41" s="26"/>
      <c r="H41" s="12"/>
      <c r="I41"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8"/>
  </cols>
  <sheetData>
    <row r="1" customFormat="false" ht="15" hidden="false" customHeight="false" outlineLevel="0" collapsed="false">
      <c r="A1" s="27" t="s">
        <v>45</v>
      </c>
      <c r="B1" s="27" t="s">
        <v>27</v>
      </c>
      <c r="C1" s="27" t="s">
        <v>15</v>
      </c>
      <c r="E1" s="2" t="s">
        <v>46</v>
      </c>
    </row>
    <row r="2" customFormat="false" ht="15" hidden="false" customHeight="false" outlineLevel="0" collapsed="false">
      <c r="A2" s="15" t="s">
        <v>20</v>
      </c>
      <c r="B2" s="15" t="s">
        <v>47</v>
      </c>
      <c r="C2" s="4" t="n">
        <v>8</v>
      </c>
    </row>
    <row r="3" customFormat="false" ht="15" hidden="false" customHeight="false" outlineLevel="0" collapsed="false">
      <c r="A3" s="15" t="s">
        <v>22</v>
      </c>
      <c r="B3" s="15" t="s">
        <v>48</v>
      </c>
      <c r="C3" s="4" t="n">
        <v>8</v>
      </c>
    </row>
    <row r="4" customFormat="false" ht="15" hidden="false" customHeight="false" outlineLevel="0" collapsed="false">
      <c r="A4" s="15" t="s">
        <v>49</v>
      </c>
      <c r="B4" s="15" t="s">
        <v>50</v>
      </c>
      <c r="C4" s="4" t="n">
        <v>8</v>
      </c>
    </row>
    <row r="5" customFormat="false" ht="15" hidden="false" customHeight="false" outlineLevel="0" collapsed="false">
      <c r="A5" s="15" t="s">
        <v>23</v>
      </c>
      <c r="B5" s="15" t="s">
        <v>51</v>
      </c>
      <c r="C5" s="4" t="n">
        <v>12</v>
      </c>
    </row>
    <row r="6" customFormat="false" ht="15" hidden="false" customHeight="false" outlineLevel="0" collapsed="false">
      <c r="A6" s="15" t="s">
        <v>52</v>
      </c>
      <c r="B6" s="15" t="s">
        <v>53</v>
      </c>
      <c r="C6" s="4" t="n">
        <v>12</v>
      </c>
    </row>
    <row r="7" customFormat="false" ht="15" hidden="false" customHeight="false" outlineLevel="0" collapsed="false">
      <c r="A7" s="15" t="s">
        <v>21</v>
      </c>
      <c r="B7" s="15" t="s">
        <v>54</v>
      </c>
      <c r="C7" s="4" t="n">
        <v>0</v>
      </c>
    </row>
    <row r="8" customFormat="false" ht="15" hidden="false" customHeight="false" outlineLevel="0" collapsed="false">
      <c r="A8" s="15" t="s">
        <v>55</v>
      </c>
      <c r="B8" s="15" t="s">
        <v>56</v>
      </c>
      <c r="C8" s="4" t="n">
        <v>0</v>
      </c>
    </row>
    <row r="9" customFormat="false" ht="15" hidden="false" customHeight="false" outlineLevel="0" collapsed="false">
      <c r="A9" s="15" t="s">
        <v>57</v>
      </c>
      <c r="B9" s="15" t="s">
        <v>58</v>
      </c>
      <c r="C9" s="4"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2026-10-30T18:49:00Z</dcterms:created>
  <dc:creator>openpyxl</dc:creator>
  <dc:description/>
  <dc:language>en-US</dc:language>
  <cp:lastModifiedBy/>
  <dcterms:modified xsi:type="dcterms:W3CDTF">2026-10-30T18:49:00Z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